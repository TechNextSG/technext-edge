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 Log" sheetId="1" state="visible" r:id="rId1"/>
    <sheet xmlns:r="http://schemas.openxmlformats.org/officeDocument/2006/relationships" name="Open Item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B2E33"/>
      <sz val="14"/>
    </font>
    <font>
      <name val="Arial"/>
      <i val="1"/>
      <color rgb="005B6C6A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A6E0A"/>
      <sz val="10"/>
    </font>
    <font>
      <name val="Arial"/>
      <b val="1"/>
      <color rgb="00B32E2E"/>
      <sz val="10"/>
    </font>
    <font>
      <name val="Arial"/>
      <b val="1"/>
      <color rgb="008A6206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C7C82"/>
        <bgColor rgb="001C7C82"/>
      </patternFill>
    </fill>
    <fill>
      <patternFill patternType="solid">
        <fgColor rgb="00E7F5E7"/>
        <bgColor rgb="00E7F5E7"/>
      </patternFill>
    </fill>
    <fill>
      <patternFill patternType="solid">
        <fgColor rgb="00FAE5E5"/>
        <bgColor rgb="00FAE5E5"/>
      </patternFill>
    </fill>
    <fill>
      <patternFill patternType="solid">
        <fgColor rgb="00FBF2DC"/>
        <bgColor rgb="00FBF2DC"/>
      </patternFill>
    </fill>
  </fills>
  <borders count="2">
    <border>
      <left/>
      <right/>
      <top/>
      <bottom/>
      <diagonal/>
    </border>
    <border>
      <left style="thin">
        <color rgb="00D9E4E2"/>
      </left>
      <right style="thin">
        <color rgb="00D9E4E2"/>
      </right>
      <top style="thin">
        <color rgb="00D9E4E2"/>
      </top>
      <bottom style="thin">
        <color rgb="00D9E4E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3" fillId="2" borderId="1" pivotButton="0" quotePrefix="0" xfId="0"/>
    <xf numFmtId="0" fontId="4" fillId="0" borderId="1" pivotButton="0" quotePrefix="0" xfId="0"/>
    <xf numFmtId="0" fontId="8" fillId="0" borderId="1" applyAlignment="1" pivotButton="0" quotePrefix="0" xfId="0">
      <alignment horizontal="center"/>
    </xf>
    <xf numFmtId="0" fontId="4" fillId="0" borderId="0" pivotButton="0" quotePrefix="0" xfId="0"/>
    <xf numFmtId="0" fontId="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55" customWidth="1" min="3" max="3"/>
    <col width="10" customWidth="1" min="4" max="4"/>
    <col width="48" customWidth="1" min="5" max="5"/>
    <col width="28" customWidth="1" min="6" max="6"/>
  </cols>
  <sheetData>
    <row r="1" ht="22" customHeight="1">
      <c r="A1" s="1" t="inlineStr">
        <is>
          <t>Extractor Pod - Sprint Tracker</t>
        </is>
      </c>
    </row>
    <row r="2">
      <c r="A2" s="2" t="inlineStr">
        <is>
          <t>technext-edge repo - Casa Escondida Core &amp; Edge Blueprint - updated as work happens, not after the fact</t>
        </is>
      </c>
    </row>
    <row r="4">
      <c r="A4" s="3" t="inlineStr">
        <is>
          <t>Date</t>
        </is>
      </c>
      <c r="B4" s="3" t="inlineStr">
        <is>
          <t>Category</t>
        </is>
      </c>
      <c r="C4" s="3" t="inlineStr">
        <is>
          <t>Item</t>
        </is>
      </c>
      <c r="D4" s="3" t="inlineStr">
        <is>
          <t>Status</t>
        </is>
      </c>
      <c r="E4" s="3" t="inlineStr">
        <is>
          <t>Notes</t>
        </is>
      </c>
      <c r="F4" s="3" t="inlineStr">
        <is>
          <t>Ref (commit / doc)</t>
        </is>
      </c>
    </row>
    <row r="5">
      <c r="A5" s="4" t="inlineStr">
        <is>
          <t>2026-09-16</t>
        </is>
      </c>
      <c r="B5" s="4" t="inlineStr">
        <is>
          <t>Repo setup</t>
        </is>
      </c>
      <c r="C5" s="4" t="inlineStr">
        <is>
          <t>Created TechNextSG/technext-edge (private repo) and linked Vercel project technext-edge-casa-bff - the Edge layer the Blueprint describes; nothing existed before this.</t>
        </is>
      </c>
      <c r="D5" s="5" t="inlineStr">
        <is>
          <t>Done</t>
        </is>
      </c>
      <c r="E5" s="4" t="inlineStr">
        <is>
          <t>No PoC pre-existed anywhere in the org for this - confirmed by searching casa-escondida-tools.</t>
        </is>
      </c>
      <c r="F5" s="4" t="inlineStr">
        <is>
          <t>commit c9c0ec3.. (initial scaffold)</t>
        </is>
      </c>
    </row>
    <row r="6">
      <c r="A6" s="4" t="inlineStr">
        <is>
          <t>2026-09-16</t>
        </is>
      </c>
      <c r="B6" s="4" t="inlineStr">
        <is>
          <t>Extractor core</t>
        </is>
      </c>
      <c r="C6" s="4" t="inlineStr">
        <is>
          <t>Built packages/extractor/: Trip schema (zod, per-field state), Manila-time relative-date resolver, house-norm defaults, verbatim-evidence enforcement, extract() pipeline.</t>
        </is>
      </c>
      <c r="D6" s="5" t="inlineStr">
        <is>
          <t>Done</t>
        </is>
      </c>
      <c r="E6" s="4" t="inlineStr">
        <is>
          <t>Trip schema and house-norm values are placeholders flagged inline - real ones need Phillip's frozen contract and Jett/Eloa respectively.</t>
        </is>
      </c>
      <c r="F6" s="4" t="inlineStr">
        <is>
          <t>packages/extractor/src/</t>
        </is>
      </c>
    </row>
    <row r="7">
      <c r="A7" s="4" t="inlineStr">
        <is>
          <t>2026-09-16</t>
        </is>
      </c>
      <c r="B7" s="4" t="inlineStr">
        <is>
          <t>BFF + UI</t>
        </is>
      </c>
      <c r="C7" s="4" t="inlineStr">
        <is>
          <t>Built apps/casa-bff/ (Hono, POST /v1/extract, GET /healthz) plus a test console at GET / for trying extraction without curl/Postman.</t>
        </is>
      </c>
      <c r="D7" s="5" t="inlineStr">
        <is>
          <t>Done</t>
        </is>
      </c>
      <c r="E7" s="4" t="inlineStr">
        <is>
          <t>Visual identity matches apps/estimate-tool in casa-escondida-tools on purpose.</t>
        </is>
      </c>
      <c r="F7" s="4" t="inlineStr">
        <is>
          <t>apps/casa-bff/src/</t>
        </is>
      </c>
    </row>
    <row r="8">
      <c r="A8" s="4" t="inlineStr">
        <is>
          <t>2026-09-16</t>
        </is>
      </c>
      <c r="B8" s="4" t="inlineStr">
        <is>
          <t>Deploy debugging</t>
        </is>
      </c>
      <c r="C8" s="4" t="inlineStr">
        <is>
          <t>Found and fixed 6 real deploy bugs in one session: monorepo subtree upload, Deployment Protection (SSO) blocking everything, Vercel framework auto-detect conflict, ESM/CJS mismatch, workspace-symlink resolution failing at runtime, git commit-author permission block.</t>
        </is>
      </c>
      <c r="D8" s="5" t="inlineStr">
        <is>
          <t>Done</t>
        </is>
      </c>
      <c r="E8" s="4" t="inlineStr">
        <is>
          <t>Documented in docs/01-team-guide.md section 8 (Known gotchas) so nobody re-debugs the same things.</t>
        </is>
      </c>
      <c r="F8" s="4" t="inlineStr">
        <is>
          <t>README/team-guide commit history</t>
        </is>
      </c>
    </row>
    <row r="9">
      <c r="A9" s="4" t="inlineStr">
        <is>
          <t>2026-09-16</t>
        </is>
      </c>
      <c r="B9" s="4" t="inlineStr">
        <is>
          <t>Model bake-off prep</t>
        </is>
      </c>
      <c r="C9" s="4" t="inlineStr">
        <is>
          <t>Added DeepSeek adapter (4th candidate) via the team's LiteLLM gateway; provider now selectable per env var (EXTRACTOR_PROVIDER) or per-request override (bring-your-own key from the test console).</t>
        </is>
      </c>
      <c r="D9" s="5" t="inlineStr">
        <is>
          <t>Done</t>
        </is>
      </c>
      <c r="E9" s="4" t="inlineStr">
        <is>
          <t>DeepSeek restricted to synthetic data only until the PII-masking-before-send question is resolved (Gate A).</t>
        </is>
      </c>
      <c r="F9" s="4" t="inlineStr">
        <is>
          <t>packages/extractor/src/providerFromEnv.ts</t>
        </is>
      </c>
    </row>
    <row r="10">
      <c r="A10" s="4" t="inlineStr">
        <is>
          <t>2026-09-16</t>
        </is>
      </c>
      <c r="B10" s="4" t="inlineStr">
        <is>
          <t>Pipeline hardening</t>
        </is>
      </c>
      <c r="C10" s="4" t="inlineStr">
        <is>
          <t>Retry on schema failure now hands the model its own bad output + the real zod error (was: identical blind retry). Transport failures (429/5xx) now return a distinct status from validation failures (was: both read as one generic 422).</t>
        </is>
      </c>
      <c r="D10" s="5" t="inlineStr">
        <is>
          <t>Done</t>
        </is>
      </c>
      <c r="E10" s="4" t="inlineStr">
        <is>
          <t>Found by actually running the eval harness against production, not by inspection.</t>
        </is>
      </c>
      <c r="F10" s="4" t="inlineStr">
        <is>
          <t>packages/extractor/src/extract.ts</t>
        </is>
      </c>
    </row>
    <row r="11">
      <c r="A11" s="4" t="inlineStr">
        <is>
          <t>2026-09-16</t>
        </is>
      </c>
      <c r="B11" s="4" t="inlineStr">
        <is>
          <t>Eval harness</t>
        </is>
      </c>
      <c r="C11" s="4" t="inlineStr">
        <is>
          <t>Built packages/extractor/eval/ (runner + researched synthetic dataset, 10 messages EN/VI/ZH) scoring against the Playbook's 5 thresholds.</t>
        </is>
      </c>
      <c r="D11" s="5" t="inlineStr">
        <is>
          <t>Done</t>
        </is>
      </c>
      <c r="E11" s="4" t="inlineStr">
        <is>
          <t>Synthetic data decides nothing per Playbook/ADR-005a - dry run only, proves the mechanism before Eloa's real 30 messages arrive.</t>
        </is>
      </c>
      <c r="F11" s="4" t="inlineStr">
        <is>
          <t>packages/extractor/eval/</t>
        </is>
      </c>
    </row>
    <row r="12">
      <c r="A12" s="4" t="inlineStr">
        <is>
          <t>2026-09-16</t>
        </is>
      </c>
      <c r="B12" s="4" t="inlineStr">
        <is>
          <t>Eval dry run - Gemini</t>
        </is>
      </c>
      <c r="C12" s="4" t="inlineStr">
        <is>
          <t>Ran the harness against Gemini 2.5 Flash. Found and fixed a scoring bug (house-norm default was miscounted as fabrication) and a pipeline bug (a 429 quota error was reported as a schema-validation failure).</t>
        </is>
      </c>
      <c r="D12" s="5" t="inlineStr">
        <is>
          <t>Done</t>
        </is>
      </c>
      <c r="E12" s="4" t="inlineStr">
        <is>
          <t>Both bugs fixed same day; see ADR-005a for detail.</t>
        </is>
      </c>
      <c r="F12" s="4" t="inlineStr">
        <is>
          <t>docs/adr/ADR-005a-extractor-model.md</t>
        </is>
      </c>
    </row>
    <row r="13">
      <c r="A13" s="4" t="inlineStr">
        <is>
          <t>2026-09-16</t>
        </is>
      </c>
      <c r="B13" s="4" t="inlineStr">
        <is>
          <t>Eval dry run - DeepSeek</t>
        </is>
      </c>
      <c r="C13" s="4" t="inlineStr">
        <is>
          <t>Ran the same harness against DeepSeek Flash. p95 latency 15.9s (over the 8s threshold); missed relative-date check-in extraction in 4/10 cases (tomorrow, this Friday, next Saturday in Chinese, in 5 days).</t>
        </is>
      </c>
      <c r="D13" s="5" t="inlineStr">
        <is>
          <t>Done</t>
        </is>
      </c>
      <c r="E13" s="4" t="inlineStr">
        <is>
          <t>Recorded as a lead to chase in the real bake-off, not a verdict - 10 synthetic messages decides nothing.</t>
        </is>
      </c>
      <c r="F13" s="4" t="inlineStr">
        <is>
          <t>docs/adr/ADR-005a-extractor-model.md</t>
        </is>
      </c>
    </row>
    <row r="14">
      <c r="A14" s="4" t="inlineStr">
        <is>
          <t>2026-09-16</t>
        </is>
      </c>
      <c r="B14" s="4" t="inlineStr">
        <is>
          <t>Docs</t>
        </is>
      </c>
      <c r="C14" s="4" t="inlineStr">
        <is>
          <t>Wrote docs/01-team-guide.md plus an HTML version with an EN/VI toggle (docs/team-guide.html) - prerequisites, running locally, the test console, deploying, env vars, eval harness, known gotchas.</t>
        </is>
      </c>
      <c r="D14" s="5" t="inlineStr">
        <is>
          <t>Done</t>
        </is>
      </c>
      <c r="E14" s="4" t="inlineStr">
        <is>
          <t>Two real bugs found by opening the HTML page in an actual browser: missing charset (VI text mojibake) and a CSS grid overflow from a long code line.</t>
        </is>
      </c>
      <c r="F14" s="4" t="inlineStr">
        <is>
          <t>docs/01-team-guide.md, docs/team-guide.html</t>
        </is>
      </c>
    </row>
    <row r="15">
      <c r="A15" s="4" t="inlineStr">
        <is>
          <t>2026-09-16</t>
        </is>
      </c>
      <c r="B15" s="4" t="inlineStr">
        <is>
          <t>Security hygiene</t>
        </is>
      </c>
      <c r="C15" s="4" t="inlineStr">
        <is>
          <t>Rotated GEMINI_API_KEY after the old value was pasted into chat multiple times. Flagged the DeepSeek gateway key (also pasted in chat) for Anthony to rotate.</t>
        </is>
      </c>
      <c r="D15" s="6" t="inlineStr">
        <is>
          <t>Blocked</t>
        </is>
      </c>
      <c r="E15" s="4" t="inlineStr">
        <is>
          <t>New Gemini key still hits 429 - Google's free-tier quota is per Cloud project, not per key, so rotating the key string alone did not reset it.</t>
        </is>
      </c>
      <c r="F15" s="4" t="inlineStr">
        <is>
          <t>N/A - Vercel env vars, not committed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55" customWidth="1" min="3" max="3"/>
    <col width="22" customWidth="1" min="4" max="4"/>
  </cols>
  <sheetData>
    <row r="1" ht="22" customHeight="1">
      <c r="A1" s="1" t="inlineStr">
        <is>
          <t>Open Items - Blocking the Real Bake-off (ADR-005b)</t>
        </is>
      </c>
    </row>
    <row r="2">
      <c r="A2" s="2" t="inlineStr">
        <is>
          <t>Nothing here is fixable in code - each needs a specific person</t>
        </is>
      </c>
    </row>
    <row r="4">
      <c r="A4" s="3" t="inlineStr">
        <is>
          <t>Item</t>
        </is>
      </c>
      <c r="B4" s="3" t="inlineStr">
        <is>
          <t>Needs</t>
        </is>
      </c>
      <c r="C4" s="3" t="inlineStr">
        <is>
          <t>Why it's blocked</t>
        </is>
      </c>
      <c r="D4" s="3" t="inlineStr">
        <is>
          <t>Priority</t>
        </is>
      </c>
    </row>
    <row r="5">
      <c r="A5" s="4" t="inlineStr">
        <is>
          <t>Enable billing on the Gemini API key (or issue a paid-tier key)</t>
        </is>
      </c>
      <c r="B5" s="4" t="inlineStr">
        <is>
          <t>Sky or Anthony (Google Cloud billing account owner)</t>
        </is>
      </c>
      <c r="C5" s="4" t="inlineStr">
        <is>
          <t>Free tier: 20 req/day, per-Cloud-project (not per key - rotating the key string does not reset it). Cannot run 30 messages times multiple candidates at all on this tier.</t>
        </is>
      </c>
      <c r="D5" s="6" t="inlineStr">
        <is>
          <t>High - blocks ADR-005b entirely</t>
        </is>
      </c>
    </row>
    <row r="6">
      <c r="A6" s="4" t="inlineStr">
        <is>
          <t>Rotate the DeepSeek LiteLLM gateway key</t>
        </is>
      </c>
      <c r="B6" s="4" t="inlineStr">
        <is>
          <t>Anthony</t>
        </is>
      </c>
      <c r="C6" s="4" t="inlineStr">
        <is>
          <t>Key was pasted into chat during today's testing.</t>
        </is>
      </c>
      <c r="D6" s="6" t="inlineStr">
        <is>
          <t>High - security</t>
        </is>
      </c>
    </row>
    <row r="7">
      <c r="A7" s="4" t="inlineStr">
        <is>
          <t>Freeze Phillip's Trip schema (contracts/casa/estimate-api.v1.yaml)</t>
        </is>
      </c>
      <c r="B7" s="4" t="inlineStr">
        <is>
          <t>Phillip</t>
        </is>
      </c>
      <c r="C7" s="4" t="inlineStr">
        <is>
          <t>packages/extractor/src/schema.ts is currently a guess; the eval's ground truth will need rewriting once the real schema lands.</t>
        </is>
      </c>
      <c r="D7" s="7" t="inlineStr">
        <is>
          <t>Medium</t>
        </is>
      </c>
    </row>
    <row r="8">
      <c r="A8" s="4" t="inlineStr">
        <is>
          <t>Confirm the real house-norm fields and default values</t>
        </is>
      </c>
      <c r="B8" s="4" t="inlineStr">
        <is>
          <t>Jett / Eloa</t>
        </is>
      </c>
      <c r="C8" s="4" t="inlineStr">
        <is>
          <t>houseNorms.ts currently guesses 4 fields and their defaults; wrong guesses read as fabrication in the eval.</t>
        </is>
      </c>
      <c r="D8" s="7" t="inlineStr">
        <is>
          <t>Medium</t>
        </is>
      </c>
    </row>
    <row r="9">
      <c r="A9" s="4" t="inlineStr">
        <is>
          <t>Decide: mask PII before sending to the AI provider, or only before logging</t>
        </is>
      </c>
      <c r="B9" s="4" t="inlineStr">
        <is>
          <t>Anthony / Sky</t>
        </is>
      </c>
      <c r="C9" s="4" t="inlineStr">
        <is>
          <t>Changes Gate A in ADR-005a - if masked before sending, DeepSeek's data-residency disqualification is worth revisiting.</t>
        </is>
      </c>
      <c r="D9" s="7" t="inlineStr">
        <is>
          <t>Medium</t>
        </is>
      </c>
    </row>
    <row r="10">
      <c r="A10" s="4" t="inlineStr">
        <is>
          <t>Hand over the 30 real, name-masked guest messages</t>
        </is>
      </c>
      <c r="B10" s="4" t="inlineStr">
        <is>
          <t>Eloa</t>
        </is>
      </c>
      <c r="C10" s="4" t="inlineStr">
        <is>
          <t>This is the actual bake-off dataset - everything built so far is a rehearsal waiting on it.</t>
        </is>
      </c>
      <c r="D10" s="6" t="inlineStr">
        <is>
          <t>High - the whole point of ADR-005b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Status Summary</t>
        </is>
      </c>
    </row>
    <row r="3">
      <c r="A3" s="8" t="inlineStr">
        <is>
          <t>Status</t>
        </is>
      </c>
      <c r="B3" s="8" t="inlineStr">
        <is>
          <t>Count</t>
        </is>
      </c>
    </row>
    <row r="4">
      <c r="A4" s="9" t="inlineStr">
        <is>
          <t>Done</t>
        </is>
      </c>
      <c r="B4" s="10">
        <f>COUNTIF('Progress Log'!D5:D15,"Done")</f>
        <v/>
      </c>
    </row>
    <row r="5">
      <c r="A5" s="9" t="inlineStr">
        <is>
          <t>Blocked</t>
        </is>
      </c>
      <c r="B5" s="10">
        <f>COUNTIF('Progress Log'!D5:D15,"Blocked")</f>
        <v/>
      </c>
    </row>
    <row r="6">
      <c r="A6" s="9" t="inlineStr">
        <is>
          <t>Total logged today</t>
        </is>
      </c>
      <c r="B6" s="10">
        <f>COUNTA('Progress Log'!D5:D15)</f>
        <v/>
      </c>
    </row>
    <row r="8">
      <c r="A8" s="11" t="inlineStr">
        <is>
          <t>Open blockers (Open Items sheet)</t>
        </is>
      </c>
      <c r="B8" s="12">
        <f>COUNTA('Open Items'!A5:A100)-COUNTBLANK('Open Items'!A5:A100)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2026-09-16T09:24:08Z</dcterms:created>
  <dcterms:modified xmlns:dcterms="http://purl.org/dc/terms/" xmlns:xsi="http://www.w3.org/2001/XMLSchema-instance" xsi:type="dcterms:W3CDTF">2026-09-16T09:24:08Z</dcterms:modified>
</cp:coreProperties>
</file>